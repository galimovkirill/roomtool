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зделия" sheetId="1" r:id="rId1"/>
    <sheet name="Материалы" sheetId="2" r:id="rId2"/>
    <sheet name="Доп.позиции" sheetId="3" r:id="rId3"/>
  </sheets>
  <definedNames>
    <definedName name="_xlnm._FilterDatabase" localSheetId="1">'Материалы'!A1:H27</definedName>
    <definedName name="_xlnm._FilterDatabase" localSheetId="2">'Доп.позиции'!A1:H4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# ### ##0.00 ₽;-# ### ##0.00 ₽"/>
    <numFmt numFmtId="166" formatCode="# ### ##0.00 ₽;-# ### ##0.00 ₽"/>
    <numFmt numFmtId="167" formatCode="# ### ##0.00 ₽;-# ### ##0.00 ₽"/>
    <numFmt numFmtId="168" formatCode="# ### ##0.00 ₽;-# ### ##0.00 ₽"/>
    <numFmt numFmtId="169" formatCode="# ### ##0.00 ₽;-# ### ##0.00 ₽"/>
    <numFmt numFmtId="170" formatCode="# ### ##0.00 ₽;-# ### ##0.00 ₽"/>
    <numFmt numFmtId="171" formatCode="# ### ##0.00 ₽;-# ### ##0.00 ₽"/>
    <numFmt numFmtId="172" formatCode="# ### ##0.00 ₽;-# ### ##0.00 ₽"/>
  </numFmts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b2b2b2"/>
        <bgColor/>
      </patternFill>
    </fill>
    <fill>
      <patternFill patternType="solid">
        <fgColor rgb="FFb2b2b2"/>
        <bgColor/>
      </patternFill>
    </fill>
    <fill>
      <patternFill patternType="solid">
        <fgColor rgb="FFb2b2b2"/>
        <bgColor/>
      </patternFill>
    </fill>
    <fill>
      <patternFill patternType="solid">
        <fgColor rgb="FFb2b2b2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505050"/>
      </bottom>
      <diagonal/>
    </border>
    <border>
      <left/>
      <right/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/>
      <top style="thin">
        <color rgb="e6e6e6"/>
      </top>
      <bottom/>
      <diagonal/>
    </border>
    <border>
      <left/>
      <right/>
      <top style="thin">
        <color rgb="e6e6e6"/>
      </top>
      <bottom/>
      <diagonal/>
    </border>
    <border>
      <left/>
      <right/>
      <top style="thin">
        <color rgb="e6e6e6"/>
      </top>
      <bottom/>
      <diagonal/>
    </border>
    <border>
      <left/>
      <right/>
      <top style="thin">
        <color rgb="e6e6e6"/>
      </top>
      <bottom/>
      <diagonal/>
    </border>
    <border>
      <left/>
      <right/>
      <top style="thick">
        <color rgb="505050"/>
      </top>
      <bottom/>
      <diagonal/>
    </border>
    <border>
      <left/>
      <right/>
      <top style="thick">
        <color rgb="505050"/>
      </top>
      <bottom/>
      <diagonal/>
    </border>
    <border>
      <left/>
      <right/>
      <top style="thick">
        <color rgb="505050"/>
      </top>
      <bottom/>
      <diagonal/>
    </border>
    <border>
      <left/>
      <right/>
      <top style="thick">
        <color rgb="505050"/>
      </top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top" wrapText="true"/>
    </xf>
    <xf numFmtId="0" fontId="0" fillId="2" borderId="3" xfId="0" applyFill="1" applyBorder="1" applyAlignment="1">
      <alignment horizontal="center"/>
    </xf>
    <xf numFmtId="0" fontId="0" fillId="3" borderId="4" xfId="0" applyFill="1" applyBorder="1"/>
    <xf numFmtId="165" fontId="0" fillId="4" borderId="5" xfId="0" applyFill="1" applyBorder="1" applyNumberFormat="1"/>
    <xf numFmtId="166" fontId="3" fillId="5" borderId="6" xfId="0" applyFont="1" applyFill="1" applyBorder="1" applyNumberFormat="1"/>
    <xf numFmtId="0" fontId="0" fillId="6" borderId="7" xfId="0" applyFill="1" applyBorder="1" applyAlignment="1">
      <alignment horizontal="center"/>
    </xf>
    <xf numFmtId="0" fontId="0" fillId="7" borderId="8" xfId="0" applyFill="1" applyBorder="1"/>
    <xf numFmtId="167" fontId="0" fillId="8" borderId="9" xfId="0" applyFill="1" applyBorder="1" applyNumberFormat="1"/>
    <xf numFmtId="0" fontId="4" fillId="9" borderId="10" xfId="0" applyFont="1" applyFill="1" applyBorder="1"/>
    <xf numFmtId="0" fontId="0" fillId="0" borderId="0" xfId="0" applyAlignment="1">
      <alignment horizontal="center"/>
    </xf>
    <xf numFmtId="168" fontId="0" fillId="0" borderId="0" xfId="0" applyNumberFormat="1"/>
    <xf numFmtId="0" fontId="5" fillId="0" borderId="0" xfId="0" applyFont="1"/>
    <xf numFmtId="0" fontId="6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169" fontId="7" fillId="0" borderId="14" xfId="0" applyFont="1" applyBorder="1" applyNumberFormat="1"/>
    <xf numFmtId="0" fontId="0" fillId="10" borderId="0" xfId="0" applyFill="1" applyAlignment="1">
      <alignment horizontal="center"/>
    </xf>
    <xf numFmtId="0" fontId="0" fillId="11" borderId="0" xfId="0" applyFill="1"/>
    <xf numFmtId="170" fontId="0" fillId="12" borderId="0" xfId="0" applyFill="1" applyNumberFormat="1"/>
    <xf numFmtId="171" fontId="8" fillId="13" borderId="0" xfId="0" applyFont="1" applyFill="1" applyNumberFormat="1"/>
    <xf numFmtId="172" fontId="9" fillId="0" borderId="0" xfId="0" applyFont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cols>
    <col min="1" max="1" width="12.83203125" customWidth="1"/>
    <col min="2" max="2" width="12.50390625" customWidth="1"/>
    <col min="3" max="3" width="16.6640625" customWidth="1"/>
    <col min="4" max="4" width="16.6640625" customWidth="1"/>
    <col min="5" max="5" width="41.6640625" customWidth="1"/>
    <col min="6" max="6" width="12.83203125" customWidth="1"/>
    <col min="7" max="7" width="12.83203125" customWidth="1"/>
    <col min="8" max="8" width="12.83203125" customWidth="1"/>
    <col min="9" max="9" width="16.6640625" customWidth="1"/>
    <col min="10" max="10" width="16.6640625" customWidth="1"/>
    <col min="11" max="11" width="16.6640625" customWidth="1"/>
  </cols>
  <sheetData>
    <row r="1">
      <c r="A1" s="3" t="str">
        <v>№ п.п.</v>
      </c>
      <c r="B1" s="3" t="str">
        <v>Артикул</v>
      </c>
      <c r="C1" s="3" t="str">
        <v>Наименование изделия</v>
      </c>
      <c r="D1" s="3" t="str">
        <v>Наименование компонента</v>
      </c>
      <c r="E1" s="3" t="str">
        <v>Наименование материала</v>
      </c>
      <c r="F1" s="3" t="str">
        <v>Кол-во</v>
      </c>
      <c r="G1" s="3" t="str">
        <v>Ед.изм.</v>
      </c>
      <c r="H1" s="3" t="str">
        <v>Цена</v>
      </c>
      <c r="I1" s="3" t="str">
        <v>Стоимость материала в компоненте</v>
      </c>
      <c r="J1" s="3" t="str">
        <v>Стоимость компонента в изделии</v>
      </c>
      <c r="K1" s="3" t="str">
        <v>Стоимость изделия</v>
      </c>
    </row>
    <row r="2">
      <c r="A2" s="4" t="str">
        <v>1</v>
      </c>
      <c r="B2" s="5" t="str">
        <v/>
      </c>
      <c r="C2" s="5" t="str">
        <v>01. Корпус базовый</v>
      </c>
      <c r="D2" s="5" t="str">
        <v/>
      </c>
      <c r="E2" s="5" t="str">
        <v/>
      </c>
      <c r="F2" s="4">
        <v>1</v>
      </c>
      <c r="G2" s="4" t="str">
        <v>изд.</v>
      </c>
      <c r="H2" s="6">
        <v>191522.34</v>
      </c>
      <c r="I2" s="5" t="str">
        <v/>
      </c>
      <c r="J2" s="5" t="str">
        <v/>
      </c>
      <c r="K2" s="7">
        <v>191522.34</v>
      </c>
    </row>
    <row r="3">
      <c r="A3" s="8" t="str">
        <v>1.1</v>
      </c>
      <c r="B3" s="9" t="str">
        <v>[Doors]</v>
      </c>
      <c r="C3" s="9" t="str">
        <v/>
      </c>
      <c r="D3" s="9" t="str">
        <v>СТД Фасад Smart</v>
      </c>
      <c r="E3" s="9" t="str">
        <v/>
      </c>
      <c r="F3" s="8">
        <v>1</v>
      </c>
      <c r="G3" s="8" t="str">
        <v>ед.</v>
      </c>
      <c r="H3" s="10">
        <v>22526.46</v>
      </c>
      <c r="I3" s="9" t="str">
        <v/>
      </c>
      <c r="J3" s="10">
        <v>22526.46</v>
      </c>
      <c r="K3" s="11" t="str">
        <v/>
      </c>
    </row>
    <row r="4">
      <c r="A4" s="12" t="str">
        <v>1.1.1</v>
      </c>
      <c r="B4" s="2" t="str">
        <v>AS0750.VP540.GLMAN.CJ</v>
      </c>
      <c r="C4" s="2" t="str">
        <v/>
      </c>
      <c r="D4" s="2" t="str">
        <v/>
      </c>
      <c r="E4" s="2" t="str">
        <v>Профиль верт. Smart, L=5400, Золото матовое</v>
      </c>
      <c r="F4" s="12">
        <v>1</v>
      </c>
      <c r="G4" s="12" t="str">
        <v>шт</v>
      </c>
      <c r="H4" s="13">
        <v>7635.94</v>
      </c>
      <c r="I4" s="13">
        <v>7635.94</v>
      </c>
      <c r="J4" s="2" t="str">
        <v/>
      </c>
      <c r="K4" s="14" t="str">
        <v/>
      </c>
    </row>
    <row r="5">
      <c r="A5" s="12" t="str">
        <v>1.1.2</v>
      </c>
      <c r="B5" s="2" t="str">
        <v>AGC.MNG4.004</v>
      </c>
      <c r="C5" s="2" t="str">
        <v/>
      </c>
      <c r="D5" s="2" t="str">
        <v/>
      </c>
      <c r="E5" s="2" t="str">
        <v>Зеркало Mirox MNGE, 4 мм, Серый, AGC</v>
      </c>
      <c r="F5" s="12">
        <v>1.55</v>
      </c>
      <c r="G5" s="12" t="str">
        <v>м²</v>
      </c>
      <c r="H5" s="13">
        <v>7034.63</v>
      </c>
      <c r="I5" s="13">
        <v>10903.67</v>
      </c>
      <c r="J5" s="2" t="str">
        <v/>
      </c>
      <c r="K5" s="14" t="str">
        <v/>
      </c>
    </row>
    <row r="6">
      <c r="A6" s="12" t="str">
        <v>1.1.3</v>
      </c>
      <c r="B6" s="2" t="str">
        <v>AA0084.0M000.TR000</v>
      </c>
      <c r="C6" s="2" t="str">
        <v/>
      </c>
      <c r="D6" s="2" t="str">
        <v/>
      </c>
      <c r="E6" s="2" t="str">
        <v>Уплотнитель П-образный, 4 мм, универсальный, Aristo</v>
      </c>
      <c r="F6" s="12">
        <v>7.3</v>
      </c>
      <c r="G6" s="12" t="str">
        <v>пог. м</v>
      </c>
      <c r="H6" s="13">
        <v>51.56</v>
      </c>
      <c r="I6" s="13">
        <v>376.39</v>
      </c>
      <c r="J6" s="2" t="str">
        <v/>
      </c>
      <c r="K6" s="14" t="str">
        <v/>
      </c>
    </row>
    <row r="7">
      <c r="A7" s="12" t="str">
        <v>1.1.4</v>
      </c>
      <c r="B7" s="2" t="str">
        <v>AS0004.VP540.GLMAN.CJ</v>
      </c>
      <c r="C7" s="2" t="str">
        <v/>
      </c>
      <c r="D7" s="2" t="str">
        <v/>
      </c>
      <c r="E7" s="2" t="str">
        <v>Рамка верхняя, Золото матовое</v>
      </c>
      <c r="F7" s="12">
        <v>0.79</v>
      </c>
      <c r="G7" s="12" t="str">
        <v>пог. м</v>
      </c>
      <c r="H7" s="13">
        <v>635.18</v>
      </c>
      <c r="I7" s="13">
        <v>501.79</v>
      </c>
      <c r="J7" s="2" t="str">
        <v/>
      </c>
      <c r="K7" s="14" t="str">
        <v/>
      </c>
    </row>
    <row r="8">
      <c r="A8" s="12" t="str">
        <v>1.1.5</v>
      </c>
      <c r="B8" s="2" t="str">
        <v>AS0006.VP540.GLMAN.CJ</v>
      </c>
      <c r="C8" s="2" t="str">
        <v/>
      </c>
      <c r="D8" s="2" t="str">
        <v/>
      </c>
      <c r="E8" s="2" t="str">
        <v>Рамка нижняя, Золото матовое</v>
      </c>
      <c r="F8" s="12">
        <v>0.79</v>
      </c>
      <c r="G8" s="12" t="str">
        <v>пог. м</v>
      </c>
      <c r="H8" s="13">
        <v>1270.34</v>
      </c>
      <c r="I8" s="13">
        <v>1003.57</v>
      </c>
      <c r="J8" s="2" t="str">
        <v/>
      </c>
      <c r="K8" s="14" t="str">
        <v/>
      </c>
    </row>
    <row r="9">
      <c r="A9" s="12" t="str">
        <v>1.1.6</v>
      </c>
      <c r="B9" s="2" t="str">
        <v>AS0640.VP540.GLMAN.CJ</v>
      </c>
      <c r="C9" s="2" t="str">
        <v/>
      </c>
      <c r="D9" s="2" t="str">
        <v/>
      </c>
      <c r="E9" s="2" t="str">
        <v>Рамка средняя 640, Золото матовое</v>
      </c>
      <c r="F9" s="12">
        <v>1.58</v>
      </c>
      <c r="G9" s="12" t="str">
        <v>пог. м</v>
      </c>
      <c r="H9" s="13">
        <v>875.88</v>
      </c>
      <c r="I9" s="13">
        <v>1383.89</v>
      </c>
      <c r="J9" s="2" t="str">
        <v/>
      </c>
      <c r="K9" s="14" t="str">
        <v/>
      </c>
    </row>
    <row r="10">
      <c r="A10" s="12" t="str">
        <v>1.1.7</v>
      </c>
      <c r="B10" s="2" t="str">
        <v>EGR.L10.H1242ST10</v>
      </c>
      <c r="C10" s="2" t="str">
        <v/>
      </c>
      <c r="D10" s="2" t="str">
        <v/>
      </c>
      <c r="E10" s="2" t="str">
        <v>ЛДСП 10 мм, Акация Шеффилд натуральный, H1242 ST10, Egger</v>
      </c>
      <c r="F10" s="12">
        <v>0.16</v>
      </c>
      <c r="G10" s="12" t="str">
        <v>м²</v>
      </c>
      <c r="H10" s="13">
        <v>4171.59</v>
      </c>
      <c r="I10" s="13">
        <v>667.45</v>
      </c>
      <c r="J10" s="2" t="str">
        <v/>
      </c>
      <c r="K10" s="14" t="str">
        <v/>
      </c>
    </row>
    <row r="11">
      <c r="A11" s="12" t="str">
        <v>1.1.8</v>
      </c>
      <c r="B11" s="2" t="str">
        <v>AA0075.VP000.ZN0EP.CY</v>
      </c>
      <c r="C11" s="2" t="str">
        <v/>
      </c>
      <c r="D11" s="2" t="str">
        <v/>
      </c>
      <c r="E11" s="2" t="str">
        <v>Саморез, 6х30</v>
      </c>
      <c r="F11" s="12">
        <v>4</v>
      </c>
      <c r="G11" s="12" t="str">
        <v>шт</v>
      </c>
      <c r="H11" s="13">
        <v>13.44</v>
      </c>
      <c r="I11" s="13">
        <v>53.76</v>
      </c>
      <c r="J11" s="2" t="str">
        <v/>
      </c>
      <c r="K11" s="14" t="str">
        <v/>
      </c>
    </row>
    <row r="12">
      <c r="A12" s="8" t="str">
        <v>1.2</v>
      </c>
      <c r="B12" s="9" t="str">
        <v>[Doors]</v>
      </c>
      <c r="C12" s="9" t="str">
        <v/>
      </c>
      <c r="D12" s="9" t="str">
        <v>СТД Фасад Smart</v>
      </c>
      <c r="E12" s="9" t="str">
        <v/>
      </c>
      <c r="F12" s="8">
        <v>1</v>
      </c>
      <c r="G12" s="8" t="str">
        <v>ед.</v>
      </c>
      <c r="H12" s="10">
        <v>23328.8</v>
      </c>
      <c r="I12" s="9" t="str">
        <v/>
      </c>
      <c r="J12" s="10">
        <v>23328.8</v>
      </c>
      <c r="K12" s="11" t="str">
        <v/>
      </c>
    </row>
    <row r="13">
      <c r="A13" s="12" t="str">
        <v>1.2.1</v>
      </c>
      <c r="B13" s="2" t="str">
        <v>AS0750.VP540.GLMAN.CJ</v>
      </c>
      <c r="C13" s="2" t="str">
        <v/>
      </c>
      <c r="D13" s="2" t="str">
        <v/>
      </c>
      <c r="E13" s="2" t="str">
        <v>Профиль верт. Smart, L=5400, Золото матовое</v>
      </c>
      <c r="F13" s="12">
        <v>1</v>
      </c>
      <c r="G13" s="12" t="str">
        <v>шт</v>
      </c>
      <c r="H13" s="13">
        <v>7635.94</v>
      </c>
      <c r="I13" s="13">
        <v>7635.94</v>
      </c>
      <c r="J13" s="2" t="str">
        <v/>
      </c>
      <c r="K13" s="14" t="str">
        <v/>
      </c>
    </row>
    <row r="14">
      <c r="A14" s="12" t="str">
        <v>1.2.2</v>
      </c>
      <c r="B14" s="2" t="str">
        <v>AGC.MNG4.004</v>
      </c>
      <c r="C14" s="2" t="str">
        <v/>
      </c>
      <c r="D14" s="2" t="str">
        <v/>
      </c>
      <c r="E14" s="2" t="str">
        <v>Зеркало Mirox MNGE, 4 мм, Серый, AGC</v>
      </c>
      <c r="F14" s="12">
        <v>1.55</v>
      </c>
      <c r="G14" s="12" t="str">
        <v>м²</v>
      </c>
      <c r="H14" s="13">
        <v>7034.63</v>
      </c>
      <c r="I14" s="13">
        <v>10903.67</v>
      </c>
      <c r="J14" s="2" t="str">
        <v/>
      </c>
      <c r="K14" s="14" t="str">
        <v/>
      </c>
    </row>
    <row r="15">
      <c r="A15" s="12" t="str">
        <v>1.2.3</v>
      </c>
      <c r="B15" s="2" t="str">
        <v>AA0084.0M000.TR000</v>
      </c>
      <c r="C15" s="2" t="str">
        <v/>
      </c>
      <c r="D15" s="2" t="str">
        <v/>
      </c>
      <c r="E15" s="2" t="str">
        <v>Уплотнитель П-образный, 4 мм, универсальный, Aristo</v>
      </c>
      <c r="F15" s="12">
        <v>8.75</v>
      </c>
      <c r="G15" s="12" t="str">
        <v>пог. м</v>
      </c>
      <c r="H15" s="13">
        <v>51.56</v>
      </c>
      <c r="I15" s="13">
        <v>451.15</v>
      </c>
      <c r="J15" s="2" t="str">
        <v/>
      </c>
      <c r="K15" s="14" t="str">
        <v/>
      </c>
    </row>
    <row r="16">
      <c r="A16" s="12" t="str">
        <v>1.2.4</v>
      </c>
      <c r="B16" s="2" t="str">
        <v>AS0004.VP540.GLMAN.CJ</v>
      </c>
      <c r="C16" s="2" t="str">
        <v/>
      </c>
      <c r="D16" s="2" t="str">
        <v/>
      </c>
      <c r="E16" s="2" t="str">
        <v>Рамка верхняя, Золото матовое</v>
      </c>
      <c r="F16" s="12">
        <v>0.79</v>
      </c>
      <c r="G16" s="12" t="str">
        <v>пог. м</v>
      </c>
      <c r="H16" s="13">
        <v>635.18</v>
      </c>
      <c r="I16" s="13">
        <v>501.79</v>
      </c>
      <c r="J16" s="2" t="str">
        <v/>
      </c>
      <c r="K16" s="14" t="str">
        <v/>
      </c>
    </row>
    <row r="17">
      <c r="A17" s="12" t="str">
        <v>1.2.5</v>
      </c>
      <c r="B17" s="2" t="str">
        <v>AS0006.VP540.GLMAN.CJ</v>
      </c>
      <c r="C17" s="2" t="str">
        <v/>
      </c>
      <c r="D17" s="2" t="str">
        <v/>
      </c>
      <c r="E17" s="2" t="str">
        <v>Рамка нижняя, Золото матовое</v>
      </c>
      <c r="F17" s="12">
        <v>0.79</v>
      </c>
      <c r="G17" s="12" t="str">
        <v>пог. м</v>
      </c>
      <c r="H17" s="13">
        <v>1270.34</v>
      </c>
      <c r="I17" s="13">
        <v>1003.57</v>
      </c>
      <c r="J17" s="2" t="str">
        <v/>
      </c>
      <c r="K17" s="14" t="str">
        <v/>
      </c>
    </row>
    <row r="18">
      <c r="A18" s="12" t="str">
        <v>1.2.6</v>
      </c>
      <c r="B18" s="2" t="str">
        <v>AS0640.VP540.GLMAN.CJ</v>
      </c>
      <c r="C18" s="2" t="str">
        <v/>
      </c>
      <c r="D18" s="2" t="str">
        <v/>
      </c>
      <c r="E18" s="2" t="str">
        <v>Рамка средняя 640, Золото матовое</v>
      </c>
      <c r="F18" s="12">
        <v>2.38</v>
      </c>
      <c r="G18" s="12" t="str">
        <v>пог. м</v>
      </c>
      <c r="H18" s="13">
        <v>875.88</v>
      </c>
      <c r="I18" s="13">
        <v>2084.59</v>
      </c>
      <c r="J18" s="2" t="str">
        <v/>
      </c>
      <c r="K18" s="14" t="str">
        <v/>
      </c>
    </row>
    <row r="19">
      <c r="A19" s="12" t="str">
        <v>1.2.7</v>
      </c>
      <c r="B19" s="2" t="str">
        <v>EGR.L10.H1242ST10</v>
      </c>
      <c r="C19" s="2" t="str">
        <v/>
      </c>
      <c r="D19" s="2" t="str">
        <v/>
      </c>
      <c r="E19" s="2" t="str">
        <v>ЛДСП 10 мм, Акация Шеффилд натуральный, H1242 ST10, Egger</v>
      </c>
      <c r="F19" s="12">
        <v>0.16</v>
      </c>
      <c r="G19" s="12" t="str">
        <v>м²</v>
      </c>
      <c r="H19" s="13">
        <v>4171.59</v>
      </c>
      <c r="I19" s="13">
        <v>667.45</v>
      </c>
      <c r="J19" s="2" t="str">
        <v/>
      </c>
      <c r="K19" s="14" t="str">
        <v/>
      </c>
    </row>
    <row r="20">
      <c r="A20" s="12" t="str">
        <v>1.2.8</v>
      </c>
      <c r="B20" s="2" t="str">
        <v>AA0075.VP000.ZN0EP.CY</v>
      </c>
      <c r="C20" s="2" t="str">
        <v/>
      </c>
      <c r="D20" s="2" t="str">
        <v/>
      </c>
      <c r="E20" s="2" t="str">
        <v>Саморез, 6х30</v>
      </c>
      <c r="F20" s="12">
        <v>6</v>
      </c>
      <c r="G20" s="12" t="str">
        <v>шт</v>
      </c>
      <c r="H20" s="13">
        <v>13.44</v>
      </c>
      <c r="I20" s="13">
        <v>80.64</v>
      </c>
      <c r="J20" s="2" t="str">
        <v/>
      </c>
      <c r="K20" s="14" t="str">
        <v/>
      </c>
    </row>
    <row r="21">
      <c r="A21" s="8" t="str">
        <v>1.3</v>
      </c>
      <c r="B21" s="9" t="str">
        <v>[Doors]</v>
      </c>
      <c r="C21" s="9" t="str">
        <v/>
      </c>
      <c r="D21" s="9" t="str">
        <v>СТД Фасад Smart</v>
      </c>
      <c r="E21" s="9" t="str">
        <v/>
      </c>
      <c r="F21" s="8">
        <v>1</v>
      </c>
      <c r="G21" s="8" t="str">
        <v>ед.</v>
      </c>
      <c r="H21" s="10">
        <v>22887.17</v>
      </c>
      <c r="I21" s="9" t="str">
        <v/>
      </c>
      <c r="J21" s="10">
        <v>22887.17</v>
      </c>
      <c r="K21" s="11" t="str">
        <v/>
      </c>
    </row>
    <row r="22">
      <c r="A22" s="12" t="str">
        <v>1.3.1</v>
      </c>
      <c r="B22" s="2" t="str">
        <v>AS0750.VP540.GLMAN.CJ</v>
      </c>
      <c r="C22" s="2" t="str">
        <v/>
      </c>
      <c r="D22" s="2" t="str">
        <v/>
      </c>
      <c r="E22" s="2" t="str">
        <v>Профиль верт. Smart, L=5400, Золото матовое</v>
      </c>
      <c r="F22" s="12">
        <v>1</v>
      </c>
      <c r="G22" s="12" t="str">
        <v>шт</v>
      </c>
      <c r="H22" s="13">
        <v>7635.94</v>
      </c>
      <c r="I22" s="13">
        <v>7635.94</v>
      </c>
      <c r="J22" s="2" t="str">
        <v/>
      </c>
      <c r="K22" s="14" t="str">
        <v/>
      </c>
    </row>
    <row r="23">
      <c r="A23" s="12" t="str">
        <v>1.3.2</v>
      </c>
      <c r="B23" s="2" t="str">
        <v>AGC.MNG4.004</v>
      </c>
      <c r="C23" s="2" t="str">
        <v/>
      </c>
      <c r="D23" s="2" t="str">
        <v/>
      </c>
      <c r="E23" s="2" t="str">
        <v>Зеркало Mirox MNGE, 4 мм, Серый, AGC</v>
      </c>
      <c r="F23" s="12">
        <v>1.29</v>
      </c>
      <c r="G23" s="12" t="str">
        <v>м²</v>
      </c>
      <c r="H23" s="13">
        <v>7034.63</v>
      </c>
      <c r="I23" s="13">
        <v>9074.67</v>
      </c>
      <c r="J23" s="2" t="str">
        <v/>
      </c>
      <c r="K23" s="14" t="str">
        <v/>
      </c>
    </row>
    <row r="24">
      <c r="A24" s="12" t="str">
        <v>1.3.3</v>
      </c>
      <c r="B24" s="2" t="str">
        <v>AA0084.0M000.TR000</v>
      </c>
      <c r="C24" s="2" t="str">
        <v/>
      </c>
      <c r="D24" s="2" t="str">
        <v/>
      </c>
      <c r="E24" s="2" t="str">
        <v>Уплотнитель П-образный, 4 мм, универсальный, Aristo</v>
      </c>
      <c r="F24" s="12">
        <v>7.95</v>
      </c>
      <c r="G24" s="12" t="str">
        <v>пог. м</v>
      </c>
      <c r="H24" s="13">
        <v>51.56</v>
      </c>
      <c r="I24" s="13">
        <v>409.9</v>
      </c>
      <c r="J24" s="2" t="str">
        <v/>
      </c>
      <c r="K24" s="14" t="str">
        <v/>
      </c>
    </row>
    <row r="25">
      <c r="A25" s="12" t="str">
        <v>1.3.4</v>
      </c>
      <c r="B25" s="2" t="str">
        <v>AS0004.VP540.GLMAN.CJ</v>
      </c>
      <c r="C25" s="2" t="str">
        <v/>
      </c>
      <c r="D25" s="2" t="str">
        <v/>
      </c>
      <c r="E25" s="2" t="str">
        <v>Рамка верхняя, Золото матовое</v>
      </c>
      <c r="F25" s="12">
        <v>0.8</v>
      </c>
      <c r="G25" s="12" t="str">
        <v>пог. м</v>
      </c>
      <c r="H25" s="13">
        <v>635.18</v>
      </c>
      <c r="I25" s="13">
        <v>508.14</v>
      </c>
      <c r="J25" s="2" t="str">
        <v/>
      </c>
      <c r="K25" s="14" t="str">
        <v/>
      </c>
    </row>
    <row r="26">
      <c r="A26" s="12" t="str">
        <v>1.3.5</v>
      </c>
      <c r="B26" s="2" t="str">
        <v>AS0006.VP540.GLMAN.CJ</v>
      </c>
      <c r="C26" s="2" t="str">
        <v/>
      </c>
      <c r="D26" s="2" t="str">
        <v/>
      </c>
      <c r="E26" s="2" t="str">
        <v>Рамка нижняя, Золото матовое</v>
      </c>
      <c r="F26" s="12">
        <v>0.8</v>
      </c>
      <c r="G26" s="12" t="str">
        <v>пог. м</v>
      </c>
      <c r="H26" s="13">
        <v>1270.34</v>
      </c>
      <c r="I26" s="13">
        <v>1016.27</v>
      </c>
      <c r="J26" s="2" t="str">
        <v/>
      </c>
      <c r="K26" s="14" t="str">
        <v/>
      </c>
    </row>
    <row r="27">
      <c r="A27" s="12" t="str">
        <v>1.3.6</v>
      </c>
      <c r="B27" s="2" t="str">
        <v>AS0640.VP540.GLMAN.CJ</v>
      </c>
      <c r="C27" s="2" t="str">
        <v/>
      </c>
      <c r="D27" s="2" t="str">
        <v/>
      </c>
      <c r="E27" s="2" t="str">
        <v>Рамка средняя 640, Золото матовое</v>
      </c>
      <c r="F27" s="12">
        <v>2.86</v>
      </c>
      <c r="G27" s="12" t="str">
        <v>пог. м</v>
      </c>
      <c r="H27" s="13">
        <v>875.88</v>
      </c>
      <c r="I27" s="13">
        <v>2505.02</v>
      </c>
      <c r="J27" s="2" t="str">
        <v/>
      </c>
      <c r="K27" s="14" t="str">
        <v/>
      </c>
    </row>
    <row r="28">
      <c r="A28" s="12" t="str">
        <v>1.3.7</v>
      </c>
      <c r="B28" s="2" t="str">
        <v>EGR.L10.H1242ST10</v>
      </c>
      <c r="C28" s="2" t="str">
        <v/>
      </c>
      <c r="D28" s="2" t="str">
        <v/>
      </c>
      <c r="E28" s="2" t="str">
        <v>ЛДСП 10 мм, Акация Шеффилд натуральный, H1242 ST10, Egger</v>
      </c>
      <c r="F28" s="12">
        <v>0.41</v>
      </c>
      <c r="G28" s="12" t="str">
        <v>м²</v>
      </c>
      <c r="H28" s="13">
        <v>4171.59</v>
      </c>
      <c r="I28" s="13">
        <v>1710.35</v>
      </c>
      <c r="J28" s="2" t="str">
        <v/>
      </c>
      <c r="K28" s="14" t="str">
        <v/>
      </c>
    </row>
    <row r="29">
      <c r="A29" s="12" t="str">
        <v>1.3.8</v>
      </c>
      <c r="B29" s="2" t="str">
        <v>AA0075.VP000.ZN0EP.CY</v>
      </c>
      <c r="C29" s="2" t="str">
        <v/>
      </c>
      <c r="D29" s="2" t="str">
        <v/>
      </c>
      <c r="E29" s="2" t="str">
        <v>Саморез, 6х30</v>
      </c>
      <c r="F29" s="12">
        <v>2</v>
      </c>
      <c r="G29" s="12" t="str">
        <v>шт</v>
      </c>
      <c r="H29" s="13">
        <v>13.44</v>
      </c>
      <c r="I29" s="13">
        <v>26.88</v>
      </c>
      <c r="J29" s="2" t="str">
        <v/>
      </c>
      <c r="K29" s="14" t="str">
        <v/>
      </c>
    </row>
    <row r="30">
      <c r="A30" s="8" t="str">
        <v>1.4</v>
      </c>
      <c r="B30" s="9" t="str">
        <v>[DoorsAcc]</v>
      </c>
      <c r="C30" s="9" t="str">
        <v/>
      </c>
      <c r="D30" s="9" t="str">
        <v>Двери-купе СТД3.Smart</v>
      </c>
      <c r="E30" s="9" t="str">
        <v/>
      </c>
      <c r="F30" s="8">
        <v>1</v>
      </c>
      <c r="G30" s="8" t="str">
        <v>ед.</v>
      </c>
      <c r="H30" s="10">
        <v>11832.49</v>
      </c>
      <c r="I30" s="9" t="str">
        <v/>
      </c>
      <c r="J30" s="10">
        <v>11832.49</v>
      </c>
      <c r="K30" s="11" t="str">
        <v/>
      </c>
    </row>
    <row r="31">
      <c r="A31" s="12" t="str">
        <v>1.4.1</v>
      </c>
      <c r="B31" s="2" t="str">
        <v>AA0100.VM100.TR000.RK</v>
      </c>
      <c r="C31" s="2" t="str">
        <v/>
      </c>
      <c r="D31" s="2" t="str">
        <v/>
      </c>
      <c r="E31" s="2" t="str">
        <v>Уплотнитель для нижней направляющей (100 м)</v>
      </c>
      <c r="F31" s="12">
        <v>5</v>
      </c>
      <c r="G31" s="12" t="str">
        <v>пог. м</v>
      </c>
      <c r="H31" s="13">
        <v>100.06</v>
      </c>
      <c r="I31" s="13">
        <v>500.3</v>
      </c>
      <c r="J31" s="2" t="str">
        <v/>
      </c>
      <c r="K31" s="14" t="str">
        <v/>
      </c>
    </row>
    <row r="32">
      <c r="A32" s="12" t="str">
        <v>1.4.2</v>
      </c>
      <c r="B32" s="2" t="str">
        <v>AA0956.VM150.GL000.CL</v>
      </c>
      <c r="C32" s="2" t="str">
        <v/>
      </c>
      <c r="D32" s="2" t="str">
        <v/>
      </c>
      <c r="E32" s="2" t="str">
        <v>Шлегель, 9х5, золото, CL (150 м)</v>
      </c>
      <c r="F32" s="12">
        <v>15</v>
      </c>
      <c r="G32" s="12" t="str">
        <v>пог. м</v>
      </c>
      <c r="H32" s="13">
        <v>56.42</v>
      </c>
      <c r="I32" s="13">
        <v>846.3</v>
      </c>
      <c r="J32" s="2" t="str">
        <v/>
      </c>
      <c r="K32" s="14" t="str">
        <v/>
      </c>
    </row>
    <row r="33">
      <c r="A33" s="12" t="str">
        <v>1.4.3</v>
      </c>
      <c r="B33" s="2" t="str">
        <v>AS0504.VP540.GLMAN.CJ</v>
      </c>
      <c r="C33" s="2" t="str">
        <v/>
      </c>
      <c r="D33" s="2" t="str">
        <v/>
      </c>
      <c r="E33" s="2" t="str">
        <v>Направл. двухпол. нижняя, Золото матовое</v>
      </c>
      <c r="F33" s="12">
        <v>2.5</v>
      </c>
      <c r="G33" s="12" t="str">
        <v>пог. м</v>
      </c>
      <c r="H33" s="13">
        <v>907.58</v>
      </c>
      <c r="I33" s="13">
        <v>2268.95</v>
      </c>
      <c r="J33" s="2" t="str">
        <v/>
      </c>
      <c r="K33" s="14" t="str">
        <v/>
      </c>
    </row>
    <row r="34">
      <c r="A34" s="12" t="str">
        <v>1.4.4</v>
      </c>
      <c r="B34" s="2" t="str">
        <v>AS0046.VP540.GLMAN.CJ</v>
      </c>
      <c r="C34" s="2" t="str">
        <v/>
      </c>
      <c r="D34" s="2" t="str">
        <v/>
      </c>
      <c r="E34" s="2" t="str">
        <v>Направл. двухпол. верхняя, Золото матовое</v>
      </c>
      <c r="F34" s="12">
        <v>2.5</v>
      </c>
      <c r="G34" s="12" t="str">
        <v>пог. м</v>
      </c>
      <c r="H34" s="13">
        <v>1929</v>
      </c>
      <c r="I34" s="13">
        <v>4822.5</v>
      </c>
      <c r="J34" s="2" t="str">
        <v/>
      </c>
      <c r="K34" s="14" t="str">
        <v/>
      </c>
    </row>
    <row r="35">
      <c r="A35" s="12" t="str">
        <v>1.4.5</v>
      </c>
      <c r="B35" s="2" t="str">
        <v>AS0001.AP000.TR000.CY</v>
      </c>
      <c r="C35" s="2" t="str">
        <v/>
      </c>
      <c r="D35" s="2" t="str">
        <v/>
      </c>
      <c r="E35" s="2" t="str">
        <v>Стопор верхний</v>
      </c>
      <c r="F35" s="12">
        <v>6</v>
      </c>
      <c r="G35" s="12" t="str">
        <v>шт</v>
      </c>
      <c r="H35" s="13">
        <v>125.06</v>
      </c>
      <c r="I35" s="13">
        <v>750.36</v>
      </c>
      <c r="J35" s="2" t="str">
        <v/>
      </c>
      <c r="K35" s="14" t="str">
        <v/>
      </c>
    </row>
    <row r="36">
      <c r="A36" s="12" t="str">
        <v>1.4.6</v>
      </c>
      <c r="B36" s="2" t="str">
        <v>AS0161.VS000.ZN0EP.CO</v>
      </c>
      <c r="C36" s="2" t="str">
        <v/>
      </c>
      <c r="D36" s="2" t="str">
        <v/>
      </c>
      <c r="E36" s="2" t="str">
        <v>Комплект роликов H</v>
      </c>
      <c r="F36" s="12">
        <v>3</v>
      </c>
      <c r="G36" s="12" t="str">
        <v>компл</v>
      </c>
      <c r="H36" s="13">
        <v>727.2</v>
      </c>
      <c r="I36" s="13">
        <v>2181.6</v>
      </c>
      <c r="J36" s="2" t="str">
        <v/>
      </c>
      <c r="K36" s="14" t="str">
        <v/>
      </c>
    </row>
    <row r="37">
      <c r="A37" s="12" t="str">
        <v>1.4.7</v>
      </c>
      <c r="B37" s="2" t="str">
        <v>AA0040.VP000.IN0EP.CO</v>
      </c>
      <c r="C37" s="2" t="str">
        <v/>
      </c>
      <c r="D37" s="2" t="str">
        <v/>
      </c>
      <c r="E37" s="2" t="str">
        <v>Прищепка для шлегеля, 9х5, нерж.</v>
      </c>
      <c r="F37" s="12">
        <v>12</v>
      </c>
      <c r="G37" s="12" t="str">
        <v>шт</v>
      </c>
      <c r="H37" s="13">
        <v>38.54</v>
      </c>
      <c r="I37" s="13">
        <v>462.48</v>
      </c>
      <c r="J37" s="2" t="str">
        <v/>
      </c>
      <c r="K37" s="14" t="str">
        <v/>
      </c>
    </row>
    <row r="38">
      <c r="A38" s="8" t="str">
        <v>1.5</v>
      </c>
      <c r="B38" s="9" t="str">
        <v>[Drawer]</v>
      </c>
      <c r="C38" s="9" t="str">
        <v/>
      </c>
      <c r="D38" s="9" t="str">
        <v>Ящик полного выдвижения</v>
      </c>
      <c r="E38" s="9" t="str">
        <v/>
      </c>
      <c r="F38" s="8">
        <v>3</v>
      </c>
      <c r="G38" s="8" t="str">
        <v>ед.</v>
      </c>
      <c r="H38" s="10">
        <v>5482.7</v>
      </c>
      <c r="I38" s="9" t="str">
        <v/>
      </c>
      <c r="J38" s="10">
        <v>16448.1</v>
      </c>
      <c r="K38" s="11" t="str">
        <v/>
      </c>
    </row>
    <row r="39">
      <c r="A39" s="12" t="str">
        <v>1.5.1</v>
      </c>
      <c r="B39" s="2" t="str">
        <v>DB8881Zn/500</v>
      </c>
      <c r="C39" s="2" t="str">
        <v/>
      </c>
      <c r="D39" s="2" t="str">
        <v/>
      </c>
      <c r="E39" s="2" t="str">
        <v>Направляющие В-Slide, полного выдв., 500, Boyard</v>
      </c>
      <c r="F39" s="12">
        <v>1</v>
      </c>
      <c r="G39" s="12" t="str">
        <v>компл</v>
      </c>
      <c r="H39" s="13">
        <v>2796.4</v>
      </c>
      <c r="I39" s="13">
        <v>2796.4</v>
      </c>
      <c r="J39" s="2" t="str">
        <v/>
      </c>
      <c r="K39" s="14" t="str">
        <v/>
      </c>
    </row>
    <row r="40">
      <c r="A40" s="12" t="str">
        <v>1.5.2</v>
      </c>
      <c r="B40" s="2" t="str">
        <v>EGR.L16.H1242ST10</v>
      </c>
      <c r="C40" s="2" t="str">
        <v/>
      </c>
      <c r="D40" s="2" t="str">
        <v/>
      </c>
      <c r="E40" s="2" t="str">
        <v>ЛДСП 16 мм, Акация Шеффилд натуральный, H1242 ST10, Egger</v>
      </c>
      <c r="F40" s="12">
        <v>0.63</v>
      </c>
      <c r="G40" s="12" t="str">
        <v>м²</v>
      </c>
      <c r="H40" s="13">
        <v>4263.98</v>
      </c>
      <c r="I40" s="13">
        <v>2686.3</v>
      </c>
      <c r="J40" s="2" t="str">
        <v/>
      </c>
      <c r="K40" s="14" t="str">
        <v/>
      </c>
    </row>
    <row r="41">
      <c r="A41" s="8" t="str">
        <v>1.6</v>
      </c>
      <c r="B41" s="9" t="str">
        <v/>
      </c>
      <c r="C41" s="9" t="str">
        <v/>
      </c>
      <c r="D41" s="9" t="str">
        <v>01. Корпус базовый</v>
      </c>
      <c r="E41" s="9" t="str">
        <v/>
      </c>
      <c r="F41" s="8">
        <v>1</v>
      </c>
      <c r="G41" s="8" t="str">
        <v>ед.</v>
      </c>
      <c r="H41" s="10">
        <v>94499.32</v>
      </c>
      <c r="I41" s="9" t="str">
        <v/>
      </c>
      <c r="J41" s="10">
        <v>94499.32</v>
      </c>
      <c r="K41" s="11" t="str">
        <v/>
      </c>
    </row>
    <row r="42">
      <c r="A42" s="12" t="str">
        <v>1.6.1</v>
      </c>
      <c r="B42" s="2" t="str">
        <v>KSP.H4.0101PE</v>
      </c>
      <c r="C42" s="2" t="str">
        <v/>
      </c>
      <c r="D42" s="2" t="str">
        <v/>
      </c>
      <c r="E42" s="2" t="str">
        <v>ХДФ, 4 мм, Белый Фасадный, 0101 PE, Kronospan</v>
      </c>
      <c r="F42" s="12">
        <v>5.58</v>
      </c>
      <c r="G42" s="12" t="str">
        <v>м²</v>
      </c>
      <c r="H42" s="13">
        <v>611.01</v>
      </c>
      <c r="I42" s="13">
        <v>3409.44</v>
      </c>
      <c r="J42" s="2" t="str">
        <v/>
      </c>
      <c r="K42" s="14" t="str">
        <v/>
      </c>
    </row>
    <row r="43">
      <c r="A43" s="12" t="str">
        <v>1.6.2</v>
      </c>
      <c r="B43" s="2" t="str">
        <v>1353845</v>
      </c>
      <c r="C43" s="2" t="str">
        <v/>
      </c>
      <c r="D43" s="2" t="str">
        <v/>
      </c>
      <c r="E43" s="2" t="str">
        <v>ЛДСП 25 мм, Бежевый песок, U156 ST9, Egger</v>
      </c>
      <c r="F43" s="12">
        <v>5.95</v>
      </c>
      <c r="G43" s="12" t="str">
        <v>м²</v>
      </c>
      <c r="H43" s="13">
        <v>5388.98</v>
      </c>
      <c r="I43" s="13">
        <v>32064.4</v>
      </c>
      <c r="J43" s="2" t="str">
        <v/>
      </c>
      <c r="K43" s="14" t="str">
        <v/>
      </c>
    </row>
    <row r="44">
      <c r="A44" s="12" t="str">
        <v>1.6.3</v>
      </c>
      <c r="B44" s="2" t="str">
        <v>WA0180.VP300.CMGEP.RU</v>
      </c>
      <c r="C44" s="2" t="str">
        <v/>
      </c>
      <c r="D44" s="2" t="str">
        <v/>
      </c>
      <c r="E44" s="2" t="str">
        <v>Труба круглая D=25мм, L=3000, хром, система Джокер, Pulse</v>
      </c>
      <c r="F44" s="12">
        <v>1</v>
      </c>
      <c r="G44" s="12" t="str">
        <v>шт</v>
      </c>
      <c r="H44" s="13">
        <v>4370.99</v>
      </c>
      <c r="I44" s="13">
        <v>4370.99</v>
      </c>
      <c r="J44" s="2" t="str">
        <v/>
      </c>
      <c r="K44" s="14" t="str">
        <v/>
      </c>
    </row>
    <row r="45">
      <c r="A45" s="12" t="str">
        <v>1.6.4</v>
      </c>
      <c r="B45" s="2" t="str">
        <v>EGR.L25.H1242ST10</v>
      </c>
      <c r="C45" s="2" t="str">
        <v/>
      </c>
      <c r="D45" s="2" t="str">
        <v/>
      </c>
      <c r="E45" s="2" t="str">
        <v>ЛДСП 25 мм, Акация Шеффилд натуральный, H1242 ST10, Egger</v>
      </c>
      <c r="F45" s="12">
        <v>6.3</v>
      </c>
      <c r="G45" s="12" t="str">
        <v>м²</v>
      </c>
      <c r="H45" s="13">
        <v>5918.49</v>
      </c>
      <c r="I45" s="13">
        <v>37286.49</v>
      </c>
      <c r="J45" s="2" t="str">
        <v/>
      </c>
      <c r="K45" s="14" t="str">
        <v/>
      </c>
    </row>
    <row r="46">
      <c r="A46" s="12" t="str">
        <v>1.6.5</v>
      </c>
      <c r="B46" s="2" t="str">
        <v>EGR.L16.H1242ST10</v>
      </c>
      <c r="C46" s="2" t="str">
        <v/>
      </c>
      <c r="D46" s="2" t="str">
        <v/>
      </c>
      <c r="E46" s="2" t="str">
        <v>ЛДСП 16 мм, Акация Шеффилд натуральный, H1242 ST10, Egger</v>
      </c>
      <c r="F46" s="12">
        <v>1.79</v>
      </c>
      <c r="G46" s="12" t="str">
        <v>м²</v>
      </c>
      <c r="H46" s="13">
        <v>4263.98</v>
      </c>
      <c r="I46" s="13">
        <v>7632.52</v>
      </c>
      <c r="J46" s="2" t="str">
        <v/>
      </c>
      <c r="K46" s="14" t="str">
        <v/>
      </c>
    </row>
    <row r="47">
      <c r="A47" s="12" t="str">
        <v>1.6.6</v>
      </c>
      <c r="B47" s="2" t="str">
        <v>6 565 570</v>
      </c>
      <c r="C47" s="2" t="str">
        <v/>
      </c>
      <c r="D47" s="2" t="str">
        <v/>
      </c>
      <c r="E47" s="2" t="str">
        <v>Опора INTEGRATO регулируемая с штифтами, регулировка 25мм</v>
      </c>
      <c r="F47" s="12">
        <v>8</v>
      </c>
      <c r="G47" s="12" t="str">
        <v>шт</v>
      </c>
      <c r="H47" s="13">
        <v>991.22</v>
      </c>
      <c r="I47" s="13">
        <v>7929.72</v>
      </c>
      <c r="J47" s="2" t="str">
        <v/>
      </c>
      <c r="K47" s="14" t="str">
        <v/>
      </c>
    </row>
    <row r="48">
      <c r="A48" s="12" t="str">
        <v>1.6.7</v>
      </c>
      <c r="B48" s="2" t="str">
        <v>JOK.015B.CR 03</v>
      </c>
      <c r="C48" s="2" t="str">
        <v/>
      </c>
      <c r="D48" s="2" t="str">
        <v/>
      </c>
      <c r="E48" s="2" t="str">
        <v>Консоль-крепление к плоскости D=25мм, система Джокер, Pulse</v>
      </c>
      <c r="F48" s="12">
        <v>6</v>
      </c>
      <c r="G48" s="12" t="str">
        <v>шт</v>
      </c>
      <c r="H48" s="13">
        <v>300.96</v>
      </c>
      <c r="I48" s="13">
        <v>1805.76</v>
      </c>
      <c r="J48" s="2" t="str">
        <v/>
      </c>
      <c r="K48" s="14" t="str">
        <v/>
      </c>
    </row>
    <row r="49">
      <c r="A49" s="15" t="str">
        <v>Итого</v>
      </c>
      <c r="B49" s="16" t="str">
        <v/>
      </c>
      <c r="C49" s="16" t="str">
        <v/>
      </c>
      <c r="D49" s="16" t="str">
        <v/>
      </c>
      <c r="E49" s="16" t="str">
        <v/>
      </c>
      <c r="F49" s="17" t="str">
        <v/>
      </c>
      <c r="G49" s="17" t="str">
        <v/>
      </c>
      <c r="H49" s="16" t="str">
        <v/>
      </c>
      <c r="I49" s="16" t="str">
        <v/>
      </c>
      <c r="J49" s="16" t="str">
        <v/>
      </c>
      <c r="K49" s="18" cm="1">
        <f t="array" ref="K49">SUM(K2:K48)</f>
      </c>
    </row>
    <row r="50"/>
    <row r="51">
      <c r="A51" s="12" t="str">
        <v>Проект №</v>
      </c>
      <c r="B51" s="2" t="str">
        <v>1097271</v>
      </c>
    </row>
    <row r="52">
      <c r="A52" s="12" t="str">
        <v>Версия от</v>
      </c>
      <c r="B52" s="2" t="str">
        <v>05.08.2025  17:08</v>
      </c>
    </row>
  </sheetData>
  <mergeCells count="47">
    <mergeCell ref="C2:E2"/>
    <mergeCell ref="D3:E3"/>
    <mergeCell ref="D12:E12"/>
    <mergeCell ref="D21:E21"/>
    <mergeCell ref="D30:E30"/>
    <mergeCell ref="D38:E38"/>
    <mergeCell ref="D41:E41"/>
    <mergeCell ref="B4:D4"/>
    <mergeCell ref="B5:D5"/>
    <mergeCell ref="B6:D6"/>
    <mergeCell ref="B7:D7"/>
    <mergeCell ref="B8:D8"/>
    <mergeCell ref="B9:D9"/>
    <mergeCell ref="B10:D10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1:D31"/>
    <mergeCell ref="B32:D32"/>
    <mergeCell ref="B33:D33"/>
    <mergeCell ref="B34:D34"/>
    <mergeCell ref="B35:D35"/>
    <mergeCell ref="B36:D36"/>
    <mergeCell ref="B37:D37"/>
    <mergeCell ref="B39:D39"/>
    <mergeCell ref="B40:D40"/>
    <mergeCell ref="B42:D42"/>
    <mergeCell ref="B43:D43"/>
    <mergeCell ref="B44:D44"/>
    <mergeCell ref="B45:D45"/>
    <mergeCell ref="B46:D46"/>
    <mergeCell ref="B47:D47"/>
    <mergeCell ref="B48:D48"/>
  </mergeCells>
  <ignoredErrors>
    <ignoredError numberStoredAsText="1" sqref="A1:K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2.83203125" customWidth="1"/>
    <col min="2" max="2" width="24.83203125" customWidth="1"/>
    <col min="3" max="3" width="62.83203125" customWidth="1"/>
    <col min="4" max="4" width="17.83203125" customWidth="1"/>
    <col min="5" max="5" width="12.83203125" customWidth="1"/>
    <col min="6" max="6" width="12.83203125" customWidth="1"/>
    <col min="7" max="7" width="14.83203125" customWidth="1"/>
    <col min="8" max="8" width="70.83203125" customWidth="1"/>
  </cols>
  <sheetData>
    <row r="1">
      <c r="A1" s="3" t="str">
        <v>№ п.п.</v>
      </c>
      <c r="B1" s="3" t="str">
        <v xml:space="preserve">Артикул  </v>
      </c>
      <c r="C1" s="3" t="str">
        <v xml:space="preserve">Наименование материала  </v>
      </c>
      <c r="D1" s="3" t="str">
        <v xml:space="preserve">Кол-во расч.  </v>
      </c>
      <c r="E1" s="3" t="str">
        <v xml:space="preserve">Ед.изм.  </v>
      </c>
      <c r="F1" s="3" t="str">
        <v xml:space="preserve">Цена  </v>
      </c>
      <c r="G1" s="3" t="str">
        <v xml:space="preserve">Стоимость  </v>
      </c>
      <c r="H1" s="3" t="str">
        <v xml:space="preserve">Группа  </v>
      </c>
    </row>
    <row r="2">
      <c r="A2" s="19">
        <v>1</v>
      </c>
      <c r="B2" s="20" t="str">
        <v>AS0750.VP540.GLMAN.CJ</v>
      </c>
      <c r="C2" s="20" t="str">
        <v>Профиль верт. Smart, L=5400, Золото матовое</v>
      </c>
      <c r="D2" s="19">
        <v>3</v>
      </c>
      <c r="E2" s="19" t="str">
        <v>шт</v>
      </c>
      <c r="F2" s="21">
        <v>7635.94</v>
      </c>
      <c r="G2" s="22">
        <v>22907.82</v>
      </c>
      <c r="H2" s="20" t="str">
        <v>PRF  Системы шкафов-купе (профиль, ролики, доводчики, уплотнители).</v>
      </c>
    </row>
    <row r="3">
      <c r="A3" s="12">
        <v>2</v>
      </c>
      <c r="B3" s="2" t="str">
        <v>AGC.MNG4.004</v>
      </c>
      <c r="C3" s="2" t="str">
        <v>Зеркало Mirox MNGE, 4 мм, Серый, AGC</v>
      </c>
      <c r="D3" s="12">
        <v>4.39</v>
      </c>
      <c r="E3" s="12" t="str">
        <v>м²</v>
      </c>
      <c r="F3" s="13">
        <v>7034.63</v>
      </c>
      <c r="G3" s="23">
        <v>30882</v>
      </c>
      <c r="H3" s="2" t="str">
        <v>DCR  Декоративные материалы (стекло, фасады МДФ).</v>
      </c>
    </row>
    <row r="4">
      <c r="A4" s="19">
        <v>3</v>
      </c>
      <c r="B4" s="20" t="str">
        <v>AA0084.0M000.TR000</v>
      </c>
      <c r="C4" s="20" t="str">
        <v>Уплотнитель П-образный, 4 мм, универсальный, Aristo</v>
      </c>
      <c r="D4" s="19">
        <v>24</v>
      </c>
      <c r="E4" s="19" t="str">
        <v>пог. м</v>
      </c>
      <c r="F4" s="21">
        <v>51.56</v>
      </c>
      <c r="G4" s="22">
        <v>1237.44</v>
      </c>
      <c r="H4" s="20" t="str">
        <v>PRF  Системы шкафов-купе (профиль, ролики, доводчики, уплотнители).</v>
      </c>
    </row>
    <row r="5">
      <c r="A5" s="12">
        <v>4</v>
      </c>
      <c r="B5" s="2" t="str">
        <v>AS0004.VP540.GLMAN.CJ</v>
      </c>
      <c r="C5" s="2" t="str">
        <v>Рамка верхняя, Золото матовое</v>
      </c>
      <c r="D5" s="12">
        <v>2.38</v>
      </c>
      <c r="E5" s="12" t="str">
        <v>пог. м</v>
      </c>
      <c r="F5" s="13">
        <v>635.18</v>
      </c>
      <c r="G5" s="23">
        <v>1511.73</v>
      </c>
      <c r="H5" s="2" t="str">
        <v>PRF  Системы шкафов-купе (профиль, ролики, доводчики, уплотнители).</v>
      </c>
    </row>
    <row r="6">
      <c r="A6" s="19">
        <v>5</v>
      </c>
      <c r="B6" s="20" t="str">
        <v>AS0006.VP540.GLMAN.CJ</v>
      </c>
      <c r="C6" s="20" t="str">
        <v>Рамка нижняя, Золото матовое</v>
      </c>
      <c r="D6" s="19">
        <v>2.38</v>
      </c>
      <c r="E6" s="19" t="str">
        <v>пог. м</v>
      </c>
      <c r="F6" s="21">
        <v>1270.34</v>
      </c>
      <c r="G6" s="22">
        <v>3023.41</v>
      </c>
      <c r="H6" s="20" t="str">
        <v>PRF  Системы шкафов-купе (профиль, ролики, доводчики, уплотнители).</v>
      </c>
    </row>
    <row r="7">
      <c r="A7" s="12">
        <v>6</v>
      </c>
      <c r="B7" s="2" t="str">
        <v>AS0640.VP540.GLMAN.CJ</v>
      </c>
      <c r="C7" s="2" t="str">
        <v>Рамка средняя 640, Золото матовое</v>
      </c>
      <c r="D7" s="12">
        <v>6.82</v>
      </c>
      <c r="E7" s="12" t="str">
        <v>пог. м</v>
      </c>
      <c r="F7" s="13">
        <v>875.88</v>
      </c>
      <c r="G7" s="23">
        <v>5973.5</v>
      </c>
      <c r="H7" s="2" t="str">
        <v>PRF  Системы шкафов-купе (профиль, ролики, доводчики, уплотнители).</v>
      </c>
    </row>
    <row r="8">
      <c r="A8" s="19">
        <v>7</v>
      </c>
      <c r="B8" s="20" t="str">
        <v>EGR.L10.H1242ST10</v>
      </c>
      <c r="C8" s="20" t="str">
        <v>ЛДСП 10 мм, Акация Шеффилд натуральный, H1242 ST10, Egger</v>
      </c>
      <c r="D8" s="19">
        <v>0.73</v>
      </c>
      <c r="E8" s="19" t="str">
        <v>м²</v>
      </c>
      <c r="F8" s="21">
        <v>4171.59</v>
      </c>
      <c r="G8" s="22">
        <v>3045.26</v>
      </c>
      <c r="H8" s="20" t="str">
        <v>CRP  Корпусные материалы (ЛДСП, ДВП, кромка).</v>
      </c>
    </row>
    <row r="9">
      <c r="A9" s="12">
        <v>8</v>
      </c>
      <c r="B9" s="2" t="str">
        <v>AA0075.VP000.ZN0EP.CY</v>
      </c>
      <c r="C9" s="2" t="str">
        <v>Саморез, 6х30</v>
      </c>
      <c r="D9" s="12">
        <v>12</v>
      </c>
      <c r="E9" s="12" t="str">
        <v>шт</v>
      </c>
      <c r="F9" s="13">
        <v>13.44</v>
      </c>
      <c r="G9" s="23">
        <v>161.28</v>
      </c>
      <c r="H9" s="2" t="str">
        <v>PRF  Системы шкафов-купе (профиль, ролики, доводчики, уплотнители).</v>
      </c>
    </row>
    <row r="10">
      <c r="A10" s="19">
        <v>9</v>
      </c>
      <c r="B10" s="20" t="str">
        <v>AA0100.VM100.TR000.RK</v>
      </c>
      <c r="C10" s="20" t="str">
        <v>Уплотнитель для нижней направляющей (100 м)</v>
      </c>
      <c r="D10" s="19">
        <v>5</v>
      </c>
      <c r="E10" s="19" t="str">
        <v>пог. м</v>
      </c>
      <c r="F10" s="21">
        <v>100.06</v>
      </c>
      <c r="G10" s="22">
        <v>500.3</v>
      </c>
      <c r="H10" s="20" t="str">
        <v>PRF  Системы шкафов-купе (профиль, ролики, доводчики, уплотнители).</v>
      </c>
    </row>
    <row r="11">
      <c r="A11" s="12">
        <v>10</v>
      </c>
      <c r="B11" s="2" t="str">
        <v>AA0956.VM150.GL000.CL</v>
      </c>
      <c r="C11" s="2" t="str">
        <v>Шлегель, 9х5, золото, CL (150 м)</v>
      </c>
      <c r="D11" s="12">
        <v>15</v>
      </c>
      <c r="E11" s="12" t="str">
        <v>пог. м</v>
      </c>
      <c r="F11" s="13">
        <v>56.42</v>
      </c>
      <c r="G11" s="23">
        <v>846.3</v>
      </c>
      <c r="H11" s="2" t="str">
        <v>PRF  Системы шкафов-купе (профиль, ролики, доводчики, уплотнители).</v>
      </c>
    </row>
    <row r="12">
      <c r="A12" s="19">
        <v>11</v>
      </c>
      <c r="B12" s="20" t="str">
        <v>AS0504.VP540.GLMAN.CJ</v>
      </c>
      <c r="C12" s="20" t="str">
        <v>Направл. двухпол. нижняя, Золото матовое</v>
      </c>
      <c r="D12" s="19">
        <v>2.5</v>
      </c>
      <c r="E12" s="19" t="str">
        <v>пог. м</v>
      </c>
      <c r="F12" s="21">
        <v>907.58</v>
      </c>
      <c r="G12" s="22">
        <v>2268.95</v>
      </c>
      <c r="H12" s="20" t="str">
        <v>PRF  Системы шкафов-купе (профиль, ролики, доводчики, уплотнители).</v>
      </c>
    </row>
    <row r="13">
      <c r="A13" s="12">
        <v>12</v>
      </c>
      <c r="B13" s="2" t="str">
        <v>AS0046.VP540.GLMAN.CJ</v>
      </c>
      <c r="C13" s="2" t="str">
        <v>Направл. двухпол. верхняя, Золото матовое</v>
      </c>
      <c r="D13" s="12">
        <v>2.5</v>
      </c>
      <c r="E13" s="12" t="str">
        <v>пог. м</v>
      </c>
      <c r="F13" s="13">
        <v>1929</v>
      </c>
      <c r="G13" s="23">
        <v>4822.5</v>
      </c>
      <c r="H13" s="2" t="str">
        <v>PRF  Системы шкафов-купе (профиль, ролики, доводчики, уплотнители).</v>
      </c>
    </row>
    <row r="14">
      <c r="A14" s="19">
        <v>13</v>
      </c>
      <c r="B14" s="20" t="str">
        <v>AS0001.AP000.TR000.CY</v>
      </c>
      <c r="C14" s="20" t="str">
        <v>Стопор верхний</v>
      </c>
      <c r="D14" s="19">
        <v>6</v>
      </c>
      <c r="E14" s="19" t="str">
        <v>шт</v>
      </c>
      <c r="F14" s="21">
        <v>125.06</v>
      </c>
      <c r="G14" s="22">
        <v>750.36</v>
      </c>
      <c r="H14" s="20" t="str">
        <v>PRF  Системы шкафов-купе (профиль, ролики, доводчики, уплотнители).</v>
      </c>
    </row>
    <row r="15">
      <c r="A15" s="12">
        <v>14</v>
      </c>
      <c r="B15" s="2" t="str">
        <v>AS0161.VS000.ZN0EP.CO</v>
      </c>
      <c r="C15" s="2" t="str">
        <v>Комплект роликов H</v>
      </c>
      <c r="D15" s="12">
        <v>3</v>
      </c>
      <c r="E15" s="12" t="str">
        <v>компл</v>
      </c>
      <c r="F15" s="13">
        <v>727.2</v>
      </c>
      <c r="G15" s="23">
        <v>2181.6</v>
      </c>
      <c r="H15" s="2" t="str">
        <v>PRF  Системы шкафов-купе (профиль, ролики, доводчики, уплотнители).</v>
      </c>
    </row>
    <row r="16">
      <c r="A16" s="19">
        <v>15</v>
      </c>
      <c r="B16" s="20" t="str">
        <v>AA0040.VP000.IN0EP.CO</v>
      </c>
      <c r="C16" s="20" t="str">
        <v>Прищепка для шлегеля, 9х5, нерж.</v>
      </c>
      <c r="D16" s="19">
        <v>12</v>
      </c>
      <c r="E16" s="19" t="str">
        <v>шт</v>
      </c>
      <c r="F16" s="21">
        <v>38.54</v>
      </c>
      <c r="G16" s="22">
        <v>462.48</v>
      </c>
      <c r="H16" s="20" t="str">
        <v>PRF  Системы шкафов-купе (профиль, ролики, доводчики, уплотнители).</v>
      </c>
    </row>
    <row r="17">
      <c r="A17" s="12">
        <v>16</v>
      </c>
      <c r="B17" s="2" t="str">
        <v>DB8881Zn/500</v>
      </c>
      <c r="C17" s="2" t="str">
        <v>Направляющие В-Slide, полного выдв., 500, Boyard</v>
      </c>
      <c r="D17" s="12">
        <v>3</v>
      </c>
      <c r="E17" s="12" t="str">
        <v>компл</v>
      </c>
      <c r="F17" s="13">
        <v>2796.4</v>
      </c>
      <c r="G17" s="23">
        <v>8389.2</v>
      </c>
      <c r="H17" s="2" t="str">
        <v>OPN  Системы открывания (направляющие, петли, подъёмники).</v>
      </c>
    </row>
    <row r="18">
      <c r="A18" s="19">
        <v>17</v>
      </c>
      <c r="B18" s="20" t="str">
        <v>EGR.L16.H1242ST10</v>
      </c>
      <c r="C18" s="20" t="str">
        <v>ЛДСП 16 мм, Акация Шеффилд натуральный, H1242 ST10, Egger</v>
      </c>
      <c r="D18" s="19">
        <v>3.68</v>
      </c>
      <c r="E18" s="19" t="str">
        <v>м²</v>
      </c>
      <c r="F18" s="21">
        <v>4263.98</v>
      </c>
      <c r="G18" s="22">
        <v>15691.43</v>
      </c>
      <c r="H18" s="20" t="str">
        <v>CRP  Корпусные материалы (ЛДСП, ДВП, кромка).</v>
      </c>
    </row>
    <row r="19">
      <c r="A19" s="12">
        <v>18</v>
      </c>
      <c r="B19" s="2" t="str">
        <v>KSP.H4.0101PE</v>
      </c>
      <c r="C19" s="2" t="str">
        <v>ХДФ, 4 мм, Белый Фасадный, 0101 PE, Kronospan</v>
      </c>
      <c r="D19" s="12">
        <v>5.58</v>
      </c>
      <c r="E19" s="12" t="str">
        <v>м²</v>
      </c>
      <c r="F19" s="13">
        <v>611.01</v>
      </c>
      <c r="G19" s="23">
        <v>3409.44</v>
      </c>
      <c r="H19" s="2" t="str">
        <v>CRP  Корпусные материалы (ЛДСП, ДВП, кромка).</v>
      </c>
    </row>
    <row r="20">
      <c r="A20" s="19">
        <v>19</v>
      </c>
      <c r="B20" s="20" t="str">
        <v>1353845</v>
      </c>
      <c r="C20" s="20" t="str">
        <v>ЛДСП 25 мм, Бежевый песок, U156 ST9, Egger</v>
      </c>
      <c r="D20" s="19">
        <v>5.95</v>
      </c>
      <c r="E20" s="19" t="str">
        <v>м²</v>
      </c>
      <c r="F20" s="21">
        <v>5388.98</v>
      </c>
      <c r="G20" s="22">
        <v>32064.4</v>
      </c>
      <c r="H20" s="20" t="str">
        <v>CRP  Корпусные материалы (ЛДСП, ДВП, кромка).</v>
      </c>
    </row>
    <row r="21">
      <c r="A21" s="12">
        <v>20</v>
      </c>
      <c r="B21" s="2" t="str">
        <v>WA0180.VP300.CMGEP.RU</v>
      </c>
      <c r="C21" s="2" t="str">
        <v>Труба круглая D=25мм, L=3000, хром, система Джокер, Pulse</v>
      </c>
      <c r="D21" s="12">
        <v>1</v>
      </c>
      <c r="E21" s="12" t="str">
        <v>шт</v>
      </c>
      <c r="F21" s="13">
        <v>4370.99</v>
      </c>
      <c r="G21" s="23">
        <v>4370.99</v>
      </c>
      <c r="H21" s="2" t="str">
        <v>ACS  Комплектующие (пантографы, штанги, ручки, крючки).</v>
      </c>
    </row>
    <row r="22">
      <c r="A22" s="19">
        <v>21</v>
      </c>
      <c r="B22" s="20" t="str">
        <v>EGR.L25.H1242ST10</v>
      </c>
      <c r="C22" s="20" t="str">
        <v>ЛДСП 25 мм, Акация Шеффилд натуральный, H1242 ST10, Egger</v>
      </c>
      <c r="D22" s="19">
        <v>6.3</v>
      </c>
      <c r="E22" s="19" t="str">
        <v>м²</v>
      </c>
      <c r="F22" s="21">
        <v>5918.49</v>
      </c>
      <c r="G22" s="22">
        <v>37286.49</v>
      </c>
      <c r="H22" s="20" t="str">
        <v>CRP  Корпусные материалы (ЛДСП, ДВП, кромка).</v>
      </c>
    </row>
    <row r="23">
      <c r="A23" s="12">
        <v>22</v>
      </c>
      <c r="B23" s="2" t="str">
        <v>6 565 570</v>
      </c>
      <c r="C23" s="2" t="str">
        <v>Опора INTEGRATO регулируемая с штифтами, регулировка 25мм</v>
      </c>
      <c r="D23" s="12">
        <v>8</v>
      </c>
      <c r="E23" s="12" t="str">
        <v>шт</v>
      </c>
      <c r="F23" s="13">
        <v>991.22</v>
      </c>
      <c r="G23" s="23">
        <v>7929.72</v>
      </c>
      <c r="H23" s="2" t="str">
        <v>ACS  Комплектующие (пантографы, штанги, ручки, крючки).</v>
      </c>
    </row>
    <row r="24">
      <c r="A24" s="12">
        <v>23</v>
      </c>
      <c r="B24" s="2" t="str">
        <v>JOK.015B.CR 03</v>
      </c>
      <c r="C24" s="2" t="str">
        <v>Консоль-крепление к плоскости D=25мм, система Джокер, Pulse</v>
      </c>
      <c r="D24" s="12">
        <v>6</v>
      </c>
      <c r="E24" s="12" t="str">
        <v>шт</v>
      </c>
      <c r="F24" s="13">
        <v>300.96</v>
      </c>
      <c r="G24" s="23">
        <v>1805.76</v>
      </c>
      <c r="H24" s="2" t="str">
        <v>ACS  Комплектующие (пантографы, штанги, ручки, крючки).</v>
      </c>
    </row>
    <row r="25">
      <c r="A25" s="15" t="str">
        <v>Итого</v>
      </c>
      <c r="B25" s="16" t="str">
        <v/>
      </c>
      <c r="C25" s="16" t="str">
        <v/>
      </c>
      <c r="D25" s="17" t="str">
        <v/>
      </c>
      <c r="E25" s="17" t="str">
        <v/>
      </c>
      <c r="F25" s="16" t="str">
        <v/>
      </c>
      <c r="G25" s="18" cm="1">
        <f t="array" ref="G25">SUM(G2:G24)</f>
      </c>
      <c r="H25" s="16" t="str">
        <v/>
      </c>
    </row>
    <row r="26"/>
    <row r="27">
      <c r="A27" s="12" t="str">
        <v>Проект №</v>
      </c>
      <c r="B27" s="2" t="str">
        <v>1097271</v>
      </c>
    </row>
    <row r="28">
      <c r="A28" s="12" t="str">
        <v>Версия от</v>
      </c>
      <c r="B28" s="2" t="str">
        <v>05.08.2025  17:08</v>
      </c>
    </row>
  </sheetData>
  <autoFilter ref="A1:H27"/>
  <ignoredErrors>
    <ignoredError numberStoredAsText="1" sqref="A1:H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</cols>
  <sheetData>
    <row r="1">
      <c r="A1" s="3" t="str">
        <v>№ п.п.</v>
      </c>
      <c r="B1" s="3" t="str">
        <v xml:space="preserve">Артикул  </v>
      </c>
      <c r="C1" s="3" t="str">
        <v xml:space="preserve">Поставщик  </v>
      </c>
      <c r="D1" s="3" t="str">
        <v xml:space="preserve">Наименование   </v>
      </c>
      <c r="E1" s="3" t="str">
        <v xml:space="preserve">Цена  </v>
      </c>
      <c r="F1" s="3" t="str">
        <v xml:space="preserve">Кол-во  </v>
      </c>
      <c r="G1" s="3" t="str">
        <v xml:space="preserve">Ед.изм.  </v>
      </c>
      <c r="H1" s="3" t="str">
        <v xml:space="preserve">Стоимость  </v>
      </c>
    </row>
    <row r="2">
      <c r="A2" s="15" t="str">
        <v>Итого</v>
      </c>
      <c r="B2" s="16" t="str">
        <v/>
      </c>
      <c r="C2" s="16" t="str">
        <v/>
      </c>
      <c r="D2" s="16" t="str">
        <v/>
      </c>
      <c r="E2" s="16" t="str">
        <v/>
      </c>
      <c r="F2" s="17" t="str">
        <v/>
      </c>
      <c r="G2" s="17" t="str">
        <v/>
      </c>
      <c r="H2" s="18">
        <v>0</v>
      </c>
    </row>
    <row r="3"/>
    <row r="4">
      <c r="A4" s="12" t="str">
        <v>Проект №</v>
      </c>
      <c r="B4" s="2" t="str">
        <v>1097271</v>
      </c>
    </row>
    <row r="5">
      <c r="A5" s="12" t="str">
        <v>Версия от</v>
      </c>
      <c r="B5" s="2" t="str">
        <v>05.08.2025  17:08</v>
      </c>
    </row>
  </sheetData>
  <autoFilter ref="A1:H4"/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Изделия</vt:lpstr>
      <vt:lpstr>Материалы</vt:lpstr>
      <vt:lpstr>Доп.позиции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